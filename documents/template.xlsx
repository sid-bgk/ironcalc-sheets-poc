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crCalc" sheetId="1" state="visible" r:id="rId3"/>
    <sheet name="RentalCalc" sheetId="2" state="visible" r:id="rId4"/>
  </sheets>
  <definedNames>
    <definedName function="false" hidden="false" name="AnnualHomeOwnersInsurance" vbProcedure="false">DscrCalc!$B$10</definedName>
    <definedName function="false" hidden="false" name="AnnualPropertyTax" vbProcedure="false">DscrCalc!$B$12</definedName>
    <definedName function="false" hidden="false" name="AppraisalRentalIncome" vbProcedure="false">DscrCalc!$B$6</definedName>
    <definedName function="false" hidden="false" name="DSCR" vbProcedure="false">DscrCalc!$B$25</definedName>
    <definedName function="false" hidden="false" name="EstimatedHOAFees" vbProcedure="false">DscrCalc!$B$13</definedName>
    <definedName function="false" hidden="false" name="EstimatedRentalIncome" vbProcedure="false">DscrCalc!$B$3</definedName>
    <definedName function="false" hidden="false" name="GrossRentalIncome" vbProcedure="false">DscrCalc!$B$17</definedName>
    <definedName function="false" hidden="false" name="LeaseRentalIncome" vbProcedure="false">RentalCalc!$B$3</definedName>
    <definedName function="false" hidden="false" name="MonthlyFloodInsurance" vbProcedure="false">DscrCalc!$B$20</definedName>
    <definedName function="false" hidden="false" name="MonthlyHOAFees" vbProcedure="false">DscrCalc!$B$22</definedName>
    <definedName function="false" hidden="false" name="MonthlyHomeownersInsurance" vbProcedure="false">DscrCalc!$B$19</definedName>
    <definedName function="false" hidden="false" name="MonthlyPrincipalAndInterest" vbProcedure="false">DscrCalc!$B$9</definedName>
    <definedName function="false" hidden="false" name="MonthlyPropertyTax" vbProcedure="false">DscrCalc!$B$21</definedName>
    <definedName function="false" hidden="false" name="NOI" vbProcedure="false">DscrCalc!$B$18</definedName>
    <definedName function="false" hidden="false" name="OperatingExpenses" vbProcedure="false">DscrCalc!$B$8</definedName>
    <definedName function="false" hidden="false" name="PITIA" vbProcedure="false">DscrCalc!$B$23</definedName>
    <definedName function="false" hidden="false" name="ShortTermRentalIncome" vbProcedure="false">DscrCalc!$B$5</definedName>
    <definedName function="false" hidden="false" name="TDS" vbProcedure="false">DscrCalc!$B$24</definedName>
    <definedName function="false" hidden="false" name="VacancyLoss" vbProcedure="false">DscrCalc!$B$7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<sst xmlns="http://schemas.openxmlformats.org/spreadsheetml/2006/main" count="117" uniqueCount="77">
  <si>
    <t xml:space="preserve">Dscr</t>
  </si>
  <si>
    <t xml:space="preserve">DSCR Calculations</t>
  </si>
  <si>
    <t xml:space="preserve">Name</t>
  </si>
  <si>
    <t xml:space="preserve">Value</t>
  </si>
  <si>
    <t xml:space="preserve">Source</t>
  </si>
  <si>
    <t xml:space="preserve">EstimatedRentalIncome</t>
  </si>
  <si>
    <t xml:space="preserve">Encompass</t>
  </si>
  <si>
    <t xml:space="preserve">Net Operation Income</t>
  </si>
  <si>
    <t xml:space="preserve">LeaseRentalIncomeCalculated</t>
  </si>
  <si>
    <t xml:space="preserve">Calculation</t>
  </si>
  <si>
    <t xml:space="preserve">Rental Income</t>
  </si>
  <si>
    <t xml:space="preserve">ShortTermRentalIncome</t>
  </si>
  <si>
    <t xml:space="preserve">Field Name</t>
  </si>
  <si>
    <t xml:space="preserve">AppraisalRentalIncome</t>
  </si>
  <si>
    <t xml:space="preserve">Form1007</t>
  </si>
  <si>
    <t xml:space="preserve">Estimated Rent</t>
  </si>
  <si>
    <t xml:space="preserve">&lt;-input</t>
  </si>
  <si>
    <t xml:space="preserve">VacancyLoss</t>
  </si>
  <si>
    <t xml:space="preserve">Rent from Lease</t>
  </si>
  <si>
    <t xml:space="preserve">OperatingExpenses</t>
  </si>
  <si>
    <t xml:space="preserve">Rent from Short Term Rental</t>
  </si>
  <si>
    <t xml:space="preserve">MonthlyPrincipalAndInterest</t>
  </si>
  <si>
    <t xml:space="preserve">Rental Income from Appraisal</t>
  </si>
  <si>
    <t xml:space="preserve">AnnualHomeOwnersInsurance</t>
  </si>
  <si>
    <t xml:space="preserve">HOMEOWNER_INSURANCE_POLICY</t>
  </si>
  <si>
    <t xml:space="preserve">AnnualFloodInsurance</t>
  </si>
  <si>
    <t xml:space="preserve">AnnualPropertyTax</t>
  </si>
  <si>
    <t xml:space="preserve">Gross Rental Income</t>
  </si>
  <si>
    <t xml:space="preserve">Calculation </t>
  </si>
  <si>
    <t xml:space="preserve">&lt;-output</t>
  </si>
  <si>
    <t xml:space="preserve">EstimatedHOAFees</t>
  </si>
  <si>
    <t xml:space="preserve">NOI calculation</t>
  </si>
  <si>
    <t xml:space="preserve">Function Output (Too SaafRulesData, ignore for now)</t>
  </si>
  <si>
    <t xml:space="preserve">Vacancy Loss</t>
  </si>
  <si>
    <t xml:space="preserve">Operating Expenses</t>
  </si>
  <si>
    <t xml:space="preserve">GrossRentalIncome</t>
  </si>
  <si>
    <t xml:space="preserve">NOI (Net Operating Income)</t>
  </si>
  <si>
    <t xml:space="preserve">NOI calculated using $0 Vacancy Loss and $0 Operating Expenses</t>
  </si>
  <si>
    <t xml:space="preserve">NOI</t>
  </si>
  <si>
    <t xml:space="preserve">MonthlyHomeownersInsurance</t>
  </si>
  <si>
    <t xml:space="preserve">MonthlyFloodInsurance</t>
  </si>
  <si>
    <t xml:space="preserve">Total Debt Service</t>
  </si>
  <si>
    <t xml:space="preserve">MonthlyPropertyTax</t>
  </si>
  <si>
    <t xml:space="preserve">Expenses</t>
  </si>
  <si>
    <t xml:space="preserve">MonthlyHOAFees</t>
  </si>
  <si>
    <t xml:space="preserve">Condition / Comment</t>
  </si>
  <si>
    <t xml:space="preserve">PITIA</t>
  </si>
  <si>
    <t xml:space="preserve">Monthly Principal and Interest</t>
  </si>
  <si>
    <t xml:space="preserve">TDS</t>
  </si>
  <si>
    <t xml:space="preserve">Monthly Homeowners Insurance</t>
  </si>
  <si>
    <t xml:space="preserve">DSCR</t>
  </si>
  <si>
    <t xml:space="preserve">Monthly Flood Insurance</t>
  </si>
  <si>
    <t xml:space="preserve">Monthly Property Tax</t>
  </si>
  <si>
    <t xml:space="preserve">Monthly HOA Fees</t>
  </si>
  <si>
    <t xml:space="preserve">Based on loan guidelines</t>
  </si>
  <si>
    <t xml:space="preserve">TDS (Total Debt Service)</t>
  </si>
  <si>
    <t xml:space="preserve">Result</t>
  </si>
  <si>
    <t xml:space="preserve">Function Input (From SaafRulesData)</t>
  </si>
  <si>
    <t xml:space="preserve">LeaseRentalIncome</t>
  </si>
  <si>
    <t xml:space="preserve">Leases</t>
  </si>
  <si>
    <t xml:space="preserve">S. No</t>
  </si>
  <si>
    <t xml:space="preserve">Lease Address</t>
  </si>
  <si>
    <t xml:space="preserve">Document Name</t>
  </si>
  <si>
    <t xml:space="preserve">Amount</t>
  </si>
  <si>
    <t xml:space="preserve">% Eligible</t>
  </si>
  <si>
    <t xml:space="preserve">Eligible Amount</t>
  </si>
  <si>
    <t xml:space="preserve">Lease_1</t>
  </si>
  <si>
    <t xml:space="preserve">&lt;- Eligible amount is calculated, rest is input</t>
  </si>
  <si>
    <t xml:space="preserve">Lease_2</t>
  </si>
  <si>
    <t xml:space="preserve">Lease_3</t>
  </si>
  <si>
    <t xml:space="preserve">Lease_4</t>
  </si>
  <si>
    <t xml:space="preserve">Lease_5</t>
  </si>
  <si>
    <t xml:space="preserve">Lease_6</t>
  </si>
  <si>
    <t xml:space="preserve">Lease_7</t>
  </si>
  <si>
    <t xml:space="preserve">Lease_8</t>
  </si>
  <si>
    <t xml:space="preserve">Function output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</si>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</sst>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%"/>
  </numFmts>
  <fonts count="11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36"/>
      <color rgb="FFFFFFFF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572F3"/>
        <bgColor rgb="FF3366FF"/>
      </patternFill>
    </fill>
    <fill>
      <patternFill patternType="solid">
        <fgColor rgb="FFCFE2F3"/>
        <bgColor rgb="FFD9EAD3"/>
      </patternFill>
    </fill>
    <fill>
      <patternFill patternType="solid">
        <fgColor rgb="FFF3F3F3"/>
        <bgColor rgb="FFFFFFFF"/>
      </patternFill>
    </fill>
    <fill>
      <patternFill patternType="solid">
        <fgColor rgb="FFD9EAD3"/>
        <bgColor rgb="FFCFE2F3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  <alignment horizontal="general" vertical="bottom" textRotation="0" wrapText="false" indent="0" shrinkToFit="false"/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D9EAD3"/>
      <rgbColor rgb="FF660066"/>
      <rgbColor rgb="FFFF8080"/>
      <rgbColor rgb="FF0572F3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6" activeCellId="0" sqref="G26"/>
    </sheetView>
  </sheetViews>
  <sheetFormatPr defaultColWidth="11.22265625" defaultRowHeight="15" customHeight="true" zeroHeight="false" outlineLevelRow="0" outlineLevelCol="0"/>
  <cols>
    <col collapsed="false" customWidth="true" hidden="false" outlineLevel="0" max="1" min="1" style="1" width="36.56"/>
    <col collapsed="false" customWidth="true" hidden="false" outlineLevel="0" max="3" min="3" style="1" width="26.67"/>
    <col collapsed="false" customWidth="true" hidden="false" outlineLevel="0" max="6" min="6" style="1" width="38.56"/>
  </cols>
  <sheetData>
    <row r="1" customFormat="false" ht="43.3" hidden="false" customHeight="false" outlineLevel="0" collapsed="false">
      <c r="A1" s="2" t="s">
        <v>0</v>
      </c>
      <c r="B1" s="3"/>
      <c r="C1" s="4"/>
      <c r="D1" s="5"/>
      <c r="E1" s="5"/>
      <c r="F1" s="6" t="s">
        <v>1</v>
      </c>
      <c r="G1" s="5"/>
      <c r="H1" s="5"/>
      <c r="I1" s="5"/>
      <c r="J1" s="5"/>
    </row>
    <row r="2" customFormat="false" ht="15" hidden="false" customHeight="false" outlineLevel="0" collapsed="false">
      <c r="A2" s="7" t="s">
        <v>2</v>
      </c>
      <c r="B2" s="7" t="s">
        <v>3</v>
      </c>
      <c r="C2" s="7" t="s">
        <v>4</v>
      </c>
      <c r="D2" s="5"/>
      <c r="E2" s="8"/>
      <c r="F2" s="8"/>
      <c r="G2" s="8"/>
      <c r="H2" s="8"/>
      <c r="I2" s="8"/>
      <c r="J2" s="5"/>
    </row>
    <row r="3" customFormat="false" ht="19.7" hidden="false" customHeight="false" outlineLevel="0" collapsed="false">
      <c r="A3" s="9" t="s">
        <v>5</v>
      </c>
      <c r="B3" s="10"/>
      <c r="C3" s="11" t="s">
        <v>6</v>
      </c>
      <c r="D3" s="5"/>
      <c r="E3" s="12" t="s">
        <v>7</v>
      </c>
      <c r="F3" s="8"/>
      <c r="G3" s="8"/>
      <c r="H3" s="8"/>
      <c r="I3" s="8"/>
      <c r="J3" s="5"/>
    </row>
    <row r="4" customFormat="false" ht="15" hidden="false" customHeight="false" outlineLevel="0" collapsed="false">
      <c r="A4" s="13" t="s">
        <v>8</v>
      </c>
      <c r="B4" s="14" t="n">
        <f aca="false">RentalCalc!B17</f>
        <v>0</v>
      </c>
      <c r="C4" s="11" t="s">
        <v>9</v>
      </c>
      <c r="D4" s="5"/>
      <c r="E4" s="15" t="s">
        <v>10</v>
      </c>
      <c r="F4" s="16"/>
      <c r="G4" s="16"/>
      <c r="H4" s="16"/>
      <c r="I4" s="16"/>
      <c r="J4" s="5"/>
    </row>
    <row r="5" customFormat="false" ht="15" hidden="false" customHeight="false" outlineLevel="0" collapsed="false">
      <c r="A5" s="9" t="s">
        <v>11</v>
      </c>
      <c r="B5" s="10"/>
      <c r="C5" s="17"/>
      <c r="D5" s="5"/>
      <c r="E5" s="18"/>
      <c r="F5" s="19" t="s">
        <v>12</v>
      </c>
      <c r="G5" s="20" t="s">
        <v>3</v>
      </c>
      <c r="H5" s="19" t="s">
        <v>4</v>
      </c>
      <c r="I5" s="18"/>
      <c r="J5" s="5"/>
    </row>
    <row r="6" customFormat="false" ht="15" hidden="false" customHeight="false" outlineLevel="0" collapsed="false">
      <c r="A6" s="9" t="s">
        <v>13</v>
      </c>
      <c r="B6" s="21"/>
      <c r="C6" s="22" t="s">
        <v>14</v>
      </c>
      <c r="D6" s="5"/>
      <c r="E6" s="8"/>
      <c r="F6" s="9" t="s">
        <v>15</v>
      </c>
      <c r="G6" s="14" t="n">
        <f aca="false">$B$3</f>
        <v>0</v>
      </c>
      <c r="H6" s="9" t="str">
        <f aca="false">$C$3</f>
        <v>Encompass</v>
      </c>
      <c r="I6" s="8"/>
      <c r="J6" s="5"/>
      <c r="K6" s="9" t="s">
        <v>16</v>
      </c>
    </row>
    <row r="7" customFormat="false" ht="15" hidden="false" customHeight="false" outlineLevel="0" collapsed="false">
      <c r="A7" s="9" t="s">
        <v>17</v>
      </c>
      <c r="B7" s="10"/>
      <c r="C7" s="17"/>
      <c r="D7" s="5"/>
      <c r="E7" s="23"/>
      <c r="F7" s="24" t="s">
        <v>18</v>
      </c>
      <c r="G7" s="25" t="n">
        <f aca="false">$B$4</f>
        <v>0</v>
      </c>
      <c r="H7" s="24" t="str">
        <f aca="false">$C$4</f>
        <v>Calculation</v>
      </c>
      <c r="I7" s="23"/>
      <c r="J7" s="5"/>
      <c r="K7" s="9" t="s">
        <v>16</v>
      </c>
    </row>
    <row r="8" customFormat="false" ht="15" hidden="false" customHeight="false" outlineLevel="0" collapsed="false">
      <c r="A8" s="9" t="s">
        <v>19</v>
      </c>
      <c r="B8" s="10"/>
      <c r="C8" s="17"/>
      <c r="D8" s="5"/>
      <c r="E8" s="8"/>
      <c r="F8" s="9" t="s">
        <v>20</v>
      </c>
      <c r="G8" s="14" t="n">
        <f aca="false">$B$5</f>
        <v>0</v>
      </c>
      <c r="H8" s="26" t="n">
        <f aca="false">$C$5</f>
        <v>0</v>
      </c>
      <c r="I8" s="8"/>
      <c r="J8" s="5"/>
      <c r="K8" s="9" t="s">
        <v>16</v>
      </c>
    </row>
    <row r="9" customFormat="false" ht="15" hidden="false" customHeight="false" outlineLevel="0" collapsed="false">
      <c r="A9" s="9" t="s">
        <v>21</v>
      </c>
      <c r="B9" s="14"/>
      <c r="C9" s="11" t="s">
        <v>9</v>
      </c>
      <c r="D9" s="5"/>
      <c r="E9" s="23"/>
      <c r="F9" s="24" t="s">
        <v>22</v>
      </c>
      <c r="G9" s="25" t="n">
        <f aca="false">B6</f>
        <v>0</v>
      </c>
      <c r="H9" s="24" t="s">
        <v>14</v>
      </c>
      <c r="I9" s="23"/>
      <c r="J9" s="5"/>
      <c r="K9" s="9" t="s">
        <v>16</v>
      </c>
    </row>
    <row r="10" customFormat="false" ht="15" hidden="false" customHeight="false" outlineLevel="0" collapsed="false">
      <c r="A10" s="9" t="s">
        <v>23</v>
      </c>
      <c r="B10" s="14"/>
      <c r="C10" s="11" t="s">
        <v>24</v>
      </c>
      <c r="D10" s="5"/>
      <c r="E10" s="8"/>
      <c r="F10" s="8"/>
      <c r="G10" s="26"/>
      <c r="H10" s="8"/>
      <c r="I10" s="8"/>
      <c r="J10" s="5"/>
    </row>
    <row r="11" customFormat="false" ht="15" hidden="false" customHeight="false" outlineLevel="0" collapsed="false">
      <c r="A11" s="9" t="s">
        <v>25</v>
      </c>
      <c r="B11" s="27"/>
      <c r="C11" s="8"/>
      <c r="D11" s="5"/>
      <c r="E11" s="23"/>
      <c r="F11" s="23"/>
      <c r="G11" s="28"/>
      <c r="H11" s="23"/>
      <c r="I11" s="23"/>
      <c r="J11" s="5"/>
    </row>
    <row r="12" customFormat="false" ht="15" hidden="false" customHeight="false" outlineLevel="0" collapsed="false">
      <c r="A12" s="9" t="s">
        <v>26</v>
      </c>
      <c r="B12" s="14"/>
      <c r="C12" s="11" t="s">
        <v>6</v>
      </c>
      <c r="D12" s="5"/>
      <c r="E12" s="29"/>
      <c r="F12" s="19" t="s">
        <v>27</v>
      </c>
      <c r="G12" s="30" t="n">
        <f aca="false">IF(OR(G7,G9)&gt;0,MIN(G7,G9),G6)</f>
        <v>0</v>
      </c>
      <c r="H12" s="31" t="s">
        <v>28</v>
      </c>
      <c r="I12" s="18"/>
      <c r="J12" s="5"/>
      <c r="K12" s="32" t="s">
        <v>29</v>
      </c>
    </row>
    <row r="13" customFormat="false" ht="15" hidden="false" customHeight="false" outlineLevel="0" collapsed="false">
      <c r="A13" s="9" t="s">
        <v>30</v>
      </c>
      <c r="B13" s="10"/>
      <c r="C13" s="11" t="s">
        <v>6</v>
      </c>
      <c r="D13" s="5"/>
      <c r="E13" s="23"/>
      <c r="F13" s="23"/>
      <c r="G13" s="28"/>
      <c r="H13" s="23"/>
      <c r="I13" s="23"/>
      <c r="J13" s="5"/>
    </row>
    <row r="14" customFormat="false" ht="15" hidden="false" customHeight="false" outlineLevel="0" collapsed="false">
      <c r="A14" s="8"/>
      <c r="B14" s="33"/>
      <c r="C14" s="8"/>
      <c r="D14" s="5"/>
      <c r="E14" s="15" t="s">
        <v>31</v>
      </c>
      <c r="F14" s="16"/>
      <c r="G14" s="34"/>
      <c r="H14" s="16"/>
      <c r="I14" s="16"/>
      <c r="J14" s="5"/>
    </row>
    <row r="15" customFormat="false" ht="15" hidden="false" customHeight="false" outlineLevel="0" collapsed="false">
      <c r="A15" s="7" t="s">
        <v>32</v>
      </c>
      <c r="B15" s="35"/>
      <c r="C15" s="36"/>
      <c r="D15" s="5"/>
      <c r="E15" s="8"/>
      <c r="F15" s="9" t="s">
        <v>33</v>
      </c>
      <c r="G15" s="14" t="n">
        <f aca="false">$B$7</f>
        <v>0</v>
      </c>
      <c r="H15" s="28" t="n">
        <f aca="false">$C$7</f>
        <v>0</v>
      </c>
      <c r="I15" s="8"/>
      <c r="J15" s="5"/>
      <c r="K15" s="9" t="s">
        <v>16</v>
      </c>
    </row>
    <row r="16" customFormat="false" ht="15" hidden="false" customHeight="false" outlineLevel="0" collapsed="false">
      <c r="A16" s="7" t="s">
        <v>2</v>
      </c>
      <c r="B16" s="7" t="s">
        <v>3</v>
      </c>
      <c r="C16" s="7" t="s">
        <v>4</v>
      </c>
      <c r="D16" s="5"/>
      <c r="E16" s="23"/>
      <c r="F16" s="24" t="s">
        <v>34</v>
      </c>
      <c r="G16" s="25" t="n">
        <v>0</v>
      </c>
      <c r="H16" s="23"/>
      <c r="I16" s="23"/>
      <c r="J16" s="5"/>
      <c r="K16" s="9" t="s">
        <v>16</v>
      </c>
    </row>
    <row r="17" customFormat="false" ht="15" hidden="false" customHeight="false" outlineLevel="0" collapsed="false">
      <c r="A17" s="37" t="s">
        <v>35</v>
      </c>
      <c r="B17" s="38" t="n">
        <f aca="false">$G$12</f>
        <v>0</v>
      </c>
      <c r="C17" s="39" t="str">
        <f aca="false">$H$12</f>
        <v>Calculation </v>
      </c>
      <c r="D17" s="5"/>
      <c r="E17" s="29"/>
      <c r="F17" s="19" t="s">
        <v>36</v>
      </c>
      <c r="G17" s="30" t="n">
        <f aca="false">SUM(G15, G16)</f>
        <v>0</v>
      </c>
      <c r="H17" s="31" t="s">
        <v>9</v>
      </c>
      <c r="I17" s="31" t="s">
        <v>37</v>
      </c>
      <c r="J17" s="5"/>
      <c r="K17" s="32" t="s">
        <v>29</v>
      </c>
    </row>
    <row r="18" customFormat="false" ht="15" hidden="false" customHeight="false" outlineLevel="0" collapsed="false">
      <c r="A18" s="13" t="s">
        <v>38</v>
      </c>
      <c r="B18" s="14" t="n">
        <f aca="false">$G$17</f>
        <v>0</v>
      </c>
      <c r="C18" s="11" t="str">
        <f aca="false">$H$17</f>
        <v>Calculation</v>
      </c>
      <c r="D18" s="5"/>
      <c r="E18" s="8"/>
      <c r="F18" s="8"/>
      <c r="G18" s="8"/>
      <c r="H18" s="8"/>
      <c r="I18" s="8"/>
      <c r="J18" s="5"/>
    </row>
    <row r="19" customFormat="false" ht="15" hidden="false" customHeight="false" outlineLevel="0" collapsed="false">
      <c r="A19" s="13" t="s">
        <v>39</v>
      </c>
      <c r="B19" s="14" t="n">
        <f aca="false">$G$24</f>
        <v>0</v>
      </c>
      <c r="C19" s="11" t="str">
        <f aca="false">$H$24</f>
        <v>HOMEOWNER_INSURANCE_POLICY</v>
      </c>
      <c r="D19" s="5"/>
      <c r="E19" s="8"/>
      <c r="F19" s="8"/>
      <c r="G19" s="8"/>
      <c r="H19" s="8"/>
      <c r="I19" s="8"/>
      <c r="J19" s="5"/>
    </row>
    <row r="20" customFormat="false" ht="19.7" hidden="false" customHeight="false" outlineLevel="0" collapsed="false">
      <c r="A20" s="13" t="s">
        <v>40</v>
      </c>
      <c r="B20" s="14" t="n">
        <f aca="false">$G$25</f>
        <v>0</v>
      </c>
      <c r="C20" s="40" t="n">
        <f aca="false">$H$25</f>
        <v>0</v>
      </c>
      <c r="D20" s="5"/>
      <c r="E20" s="12" t="s">
        <v>41</v>
      </c>
      <c r="F20" s="8"/>
      <c r="G20" s="8"/>
      <c r="H20" s="8"/>
      <c r="I20" s="8"/>
      <c r="J20" s="5"/>
    </row>
    <row r="21" customFormat="false" ht="15.75" hidden="false" customHeight="true" outlineLevel="0" collapsed="false">
      <c r="A21" s="13" t="s">
        <v>42</v>
      </c>
      <c r="B21" s="14" t="n">
        <f aca="false">$G$26</f>
        <v>0</v>
      </c>
      <c r="C21" s="11" t="str">
        <f aca="false">$H$26</f>
        <v>Encompass</v>
      </c>
      <c r="D21" s="5"/>
      <c r="E21" s="15" t="s">
        <v>43</v>
      </c>
      <c r="F21" s="16"/>
      <c r="G21" s="16"/>
      <c r="H21" s="16"/>
      <c r="I21" s="16"/>
      <c r="J21" s="5"/>
    </row>
    <row r="22" customFormat="false" ht="15.75" hidden="false" customHeight="true" outlineLevel="0" collapsed="false">
      <c r="A22" s="13" t="s">
        <v>44</v>
      </c>
      <c r="B22" s="14" t="n">
        <f aca="false">$G$27</f>
        <v>0</v>
      </c>
      <c r="C22" s="11" t="str">
        <f aca="false">$H$27</f>
        <v>Encompass</v>
      </c>
      <c r="D22" s="5"/>
      <c r="E22" s="18"/>
      <c r="F22" s="19" t="s">
        <v>12</v>
      </c>
      <c r="G22" s="20" t="s">
        <v>3</v>
      </c>
      <c r="H22" s="19" t="s">
        <v>4</v>
      </c>
      <c r="I22" s="19" t="s">
        <v>45</v>
      </c>
      <c r="J22" s="5"/>
    </row>
    <row r="23" customFormat="false" ht="15.75" hidden="false" customHeight="true" outlineLevel="0" collapsed="false">
      <c r="A23" s="13" t="s">
        <v>46</v>
      </c>
      <c r="B23" s="14" t="n">
        <f aca="false">$G$29</f>
        <v>0</v>
      </c>
      <c r="C23" s="11" t="str">
        <f aca="false">$H$29</f>
        <v>Calculation</v>
      </c>
      <c r="D23" s="5"/>
      <c r="E23" s="8"/>
      <c r="F23" s="9" t="s">
        <v>47</v>
      </c>
      <c r="G23" s="14" t="n">
        <f aca="false">B9</f>
        <v>0</v>
      </c>
      <c r="H23" s="9" t="str">
        <f aca="false">C9</f>
        <v>Calculation</v>
      </c>
      <c r="I23" s="8"/>
      <c r="J23" s="5"/>
      <c r="K23" s="9" t="s">
        <v>16</v>
      </c>
    </row>
    <row r="24" customFormat="false" ht="15.75" hidden="false" customHeight="true" outlineLevel="0" collapsed="false">
      <c r="A24" s="13" t="s">
        <v>48</v>
      </c>
      <c r="B24" s="21" t="n">
        <f aca="false">$G$31</f>
        <v>0</v>
      </c>
      <c r="C24" s="22" t="str">
        <f aca="false">$H$31</f>
        <v>Calculation</v>
      </c>
      <c r="D24" s="5"/>
      <c r="E24" s="23"/>
      <c r="F24" s="24" t="s">
        <v>49</v>
      </c>
      <c r="G24" s="25" t="n">
        <f aca="false">B10</f>
        <v>0</v>
      </c>
      <c r="H24" s="24" t="str">
        <f aca="false">C10</f>
        <v>HOMEOWNER_INSURANCE_POLICY</v>
      </c>
      <c r="I24" s="23"/>
      <c r="J24" s="5"/>
      <c r="K24" s="9" t="s">
        <v>16</v>
      </c>
    </row>
    <row r="25" customFormat="false" ht="15.75" hidden="false" customHeight="true" outlineLevel="0" collapsed="false">
      <c r="A25" s="13" t="s">
        <v>50</v>
      </c>
      <c r="B25" s="10"/>
      <c r="C25" s="11" t="str">
        <f aca="false">$H$34</f>
        <v>Calculation</v>
      </c>
      <c r="D25" s="5"/>
      <c r="E25" s="8"/>
      <c r="F25" s="9" t="s">
        <v>51</v>
      </c>
      <c r="G25" s="14" t="n">
        <f aca="false">B11</f>
        <v>0</v>
      </c>
      <c r="H25" s="28" t="n">
        <f aca="false">$C$11</f>
        <v>0</v>
      </c>
      <c r="I25" s="8"/>
      <c r="J25" s="5"/>
      <c r="K25" s="9" t="s">
        <v>16</v>
      </c>
    </row>
    <row r="26" customFormat="false" ht="15.75" hidden="false" customHeight="true" outlineLevel="0" collapsed="false">
      <c r="A26" s="41"/>
      <c r="B26" s="8"/>
      <c r="C26" s="17"/>
      <c r="D26" s="5"/>
      <c r="E26" s="23"/>
      <c r="F26" s="24" t="s">
        <v>52</v>
      </c>
      <c r="G26" s="25" t="n">
        <f aca="false">B12</f>
        <v>0</v>
      </c>
      <c r="H26" s="24" t="str">
        <f aca="false">$C$12</f>
        <v>Encompass</v>
      </c>
      <c r="I26" s="23"/>
      <c r="J26" s="5"/>
      <c r="K26" s="9" t="s">
        <v>16</v>
      </c>
    </row>
    <row r="27" customFormat="false" ht="15.75" hidden="false" customHeight="true" outlineLevel="0" collapsed="false">
      <c r="A27" s="41"/>
      <c r="B27" s="8"/>
      <c r="C27" s="17"/>
      <c r="D27" s="5"/>
      <c r="E27" s="8"/>
      <c r="F27" s="9" t="s">
        <v>53</v>
      </c>
      <c r="G27" s="14" t="n">
        <f aca="false">B13</f>
        <v>0</v>
      </c>
      <c r="H27" s="9" t="str">
        <f aca="false">$C$13</f>
        <v>Encompass</v>
      </c>
      <c r="I27" s="8"/>
      <c r="J27" s="5"/>
    </row>
    <row r="28" customFormat="false" ht="15.75" hidden="false" customHeight="true" outlineLevel="0" collapsed="false">
      <c r="A28" s="41"/>
      <c r="B28" s="8"/>
      <c r="C28" s="17"/>
      <c r="D28" s="5"/>
      <c r="E28" s="23"/>
      <c r="F28" s="23"/>
      <c r="G28" s="28"/>
      <c r="H28" s="23"/>
      <c r="I28" s="23"/>
      <c r="J28" s="5"/>
    </row>
    <row r="29" customFormat="false" ht="15.75" hidden="false" customHeight="true" outlineLevel="0" collapsed="false">
      <c r="A29" s="41"/>
      <c r="B29" s="8"/>
      <c r="C29" s="17"/>
      <c r="D29" s="5"/>
      <c r="E29" s="29"/>
      <c r="F29" s="19" t="s">
        <v>46</v>
      </c>
      <c r="G29" s="30" t="n">
        <f aca="false">SUM(G23:G28)</f>
        <v>0</v>
      </c>
      <c r="H29" s="31" t="s">
        <v>9</v>
      </c>
      <c r="I29" s="31" t="s">
        <v>54</v>
      </c>
      <c r="J29" s="5"/>
      <c r="K29" s="32" t="s">
        <v>29</v>
      </c>
    </row>
    <row r="30" customFormat="false" ht="15.75" hidden="false" customHeight="true" outlineLevel="0" collapsed="false">
      <c r="A30" s="41"/>
      <c r="B30" s="8"/>
      <c r="C30" s="17"/>
      <c r="D30" s="5"/>
      <c r="E30" s="8"/>
      <c r="F30" s="8"/>
      <c r="G30" s="8"/>
      <c r="H30" s="8"/>
      <c r="I30" s="8"/>
      <c r="J30" s="5"/>
    </row>
    <row r="31" customFormat="false" ht="15.75" hidden="false" customHeight="true" outlineLevel="0" collapsed="false">
      <c r="A31" s="41"/>
      <c r="B31" s="8"/>
      <c r="C31" s="17"/>
      <c r="D31" s="5"/>
      <c r="E31" s="42"/>
      <c r="F31" s="19" t="s">
        <v>55</v>
      </c>
      <c r="G31" s="30" t="n">
        <f aca="false">G29</f>
        <v>0</v>
      </c>
      <c r="H31" s="31" t="s">
        <v>9</v>
      </c>
      <c r="I31" s="42"/>
      <c r="J31" s="5"/>
      <c r="K31" s="32" t="s">
        <v>29</v>
      </c>
      <c r="L31" s="8"/>
      <c r="M31" s="8"/>
      <c r="N31" s="8"/>
      <c r="O31" s="8"/>
      <c r="P31" s="8"/>
      <c r="Q31" s="8"/>
      <c r="R31" s="8"/>
      <c r="S31" s="8"/>
      <c r="T31" s="8"/>
      <c r="U31" s="8"/>
    </row>
    <row r="32" customFormat="false" ht="15.75" hidden="false" customHeight="true" outlineLevel="0" collapsed="false">
      <c r="A32" s="41"/>
      <c r="B32" s="8"/>
      <c r="C32" s="17"/>
      <c r="D32" s="5"/>
      <c r="E32" s="8"/>
      <c r="F32" s="8"/>
      <c r="G32" s="8"/>
      <c r="H32" s="8"/>
      <c r="I32" s="8"/>
      <c r="J32" s="5"/>
    </row>
    <row r="33" customFormat="false" ht="15.75" hidden="false" customHeight="true" outlineLevel="0" collapsed="false">
      <c r="A33" s="41"/>
      <c r="B33" s="8"/>
      <c r="C33" s="17"/>
      <c r="D33" s="5"/>
      <c r="E33" s="12" t="s">
        <v>56</v>
      </c>
      <c r="F33" s="8"/>
      <c r="G33" s="8"/>
      <c r="H33" s="8"/>
      <c r="I33" s="8"/>
      <c r="J33" s="5"/>
    </row>
    <row r="34" customFormat="false" ht="15.75" hidden="false" customHeight="true" outlineLevel="0" collapsed="false">
      <c r="A34" s="41"/>
      <c r="B34" s="8"/>
      <c r="C34" s="17"/>
      <c r="D34" s="5"/>
      <c r="E34" s="43"/>
      <c r="F34" s="44" t="s">
        <v>50</v>
      </c>
      <c r="G34" s="45" t="n">
        <v>1.666</v>
      </c>
      <c r="H34" s="44" t="s">
        <v>9</v>
      </c>
      <c r="I34" s="16"/>
      <c r="J34" s="5"/>
      <c r="K34" s="32" t="s">
        <v>29</v>
      </c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G27">
    <cfRule type="cellIs" priority="2" operator="greaterThan" aboveAverage="0" equalAverage="0" bottom="0" percent="0" rank="0" text="" dxfId="0">
      <formula>500</formula>
    </cfRule>
  </conditionalFormatting>
  <conditionalFormatting sqref="G27">
    <cfRule type="cellIs" priority="3" operator="greaterThan" aboveAverage="0" equalAverage="0" bottom="0" percent="0" rank="0" text="" dxfId="0">
      <formula>500</formula>
    </cfRule>
  </conditionalFormatting>
  <conditionalFormatting sqref="G26">
    <cfRule type="cellIs" priority="4" operator="greaterThan" aboveAverage="0" equalAverage="0" bottom="0" percent="0" rank="0" text="" dxfId="1">
      <formula>100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11.22265625" defaultRowHeight="15" customHeight="true" zeroHeight="false" outlineLevelRow="0" outlineLevelCol="0"/>
  <sheetData>
    <row r="1" customFormat="false" ht="43.3" hidden="false" customHeight="false" outlineLevel="0" collapsed="false">
      <c r="A1" s="46" t="s">
        <v>57</v>
      </c>
      <c r="B1" s="3"/>
      <c r="C1" s="4"/>
      <c r="D1" s="5"/>
      <c r="E1" s="5"/>
      <c r="F1" s="6" t="s">
        <v>10</v>
      </c>
      <c r="G1" s="5"/>
      <c r="H1" s="5"/>
      <c r="I1" s="5"/>
      <c r="J1" s="5"/>
      <c r="K1" s="5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15" hidden="false" customHeight="false" outlineLevel="0" collapsed="false">
      <c r="A2" s="7" t="s">
        <v>2</v>
      </c>
      <c r="B2" s="7" t="s">
        <v>3</v>
      </c>
      <c r="C2" s="7" t="s">
        <v>4</v>
      </c>
      <c r="D2" s="5"/>
      <c r="E2" s="8"/>
      <c r="F2" s="8"/>
      <c r="G2" s="8"/>
      <c r="H2" s="8"/>
      <c r="I2" s="8"/>
      <c r="J2" s="8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9.7" hidden="false" customHeight="false" outlineLevel="0" collapsed="false">
      <c r="A3" s="9" t="s">
        <v>58</v>
      </c>
      <c r="B3" s="10"/>
      <c r="C3" s="17"/>
      <c r="D3" s="5"/>
      <c r="E3" s="12" t="s">
        <v>59</v>
      </c>
      <c r="F3" s="8"/>
      <c r="G3" s="8"/>
      <c r="H3" s="8"/>
      <c r="I3" s="8"/>
      <c r="J3" s="8"/>
      <c r="K3" s="5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customFormat="false" ht="15" hidden="false" customHeight="false" outlineLevel="0" collapsed="false">
      <c r="A4" s="8"/>
      <c r="B4" s="8"/>
      <c r="C4" s="17"/>
      <c r="D4" s="5"/>
      <c r="E4" s="47"/>
      <c r="F4" s="48"/>
      <c r="G4" s="48"/>
      <c r="H4" s="48"/>
      <c r="I4" s="48"/>
      <c r="J4" s="48"/>
      <c r="K4" s="5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customFormat="false" ht="15" hidden="false" customHeight="false" outlineLevel="0" collapsed="false">
      <c r="A5" s="8"/>
      <c r="B5" s="8"/>
      <c r="C5" s="17"/>
      <c r="D5" s="5"/>
      <c r="E5" s="49" t="s">
        <v>60</v>
      </c>
      <c r="F5" s="19" t="s">
        <v>61</v>
      </c>
      <c r="G5" s="19" t="s">
        <v>62</v>
      </c>
      <c r="H5" s="19" t="s">
        <v>63</v>
      </c>
      <c r="I5" s="19" t="s">
        <v>64</v>
      </c>
      <c r="J5" s="19" t="s">
        <v>65</v>
      </c>
      <c r="K5" s="5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customFormat="false" ht="15" hidden="false" customHeight="false" outlineLevel="0" collapsed="false">
      <c r="A6" s="8"/>
      <c r="B6" s="50"/>
      <c r="C6" s="33"/>
      <c r="D6" s="5"/>
      <c r="E6" s="51" t="n">
        <v>1</v>
      </c>
      <c r="F6" s="9" t="s">
        <v>66</v>
      </c>
      <c r="G6" s="8"/>
      <c r="H6" s="14"/>
      <c r="I6" s="52" t="n">
        <v>0.9</v>
      </c>
      <c r="J6" s="14" t="n">
        <f aca="false">H6*I6</f>
        <v>0</v>
      </c>
      <c r="K6" s="5"/>
      <c r="L6" s="9" t="s">
        <v>67</v>
      </c>
      <c r="M6" s="8"/>
      <c r="N6" s="8"/>
      <c r="O6" s="8"/>
      <c r="P6" s="8"/>
      <c r="Q6" s="8"/>
      <c r="R6" s="8"/>
      <c r="S6" s="8"/>
      <c r="T6" s="8"/>
      <c r="U6" s="8"/>
      <c r="V6" s="8"/>
    </row>
    <row r="7" customFormat="false" ht="15" hidden="false" customHeight="false" outlineLevel="0" collapsed="false">
      <c r="A7" s="8"/>
      <c r="B7" s="8"/>
      <c r="C7" s="17"/>
      <c r="D7" s="5"/>
      <c r="E7" s="53" t="n">
        <v>2</v>
      </c>
      <c r="F7" s="24" t="s">
        <v>68</v>
      </c>
      <c r="G7" s="23"/>
      <c r="H7" s="28"/>
      <c r="I7" s="52" t="n">
        <v>0.9</v>
      </c>
      <c r="J7" s="25" t="n">
        <f aca="false">H7*I7</f>
        <v>0</v>
      </c>
      <c r="K7" s="5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customFormat="false" ht="15" hidden="false" customHeight="false" outlineLevel="0" collapsed="false">
      <c r="A8" s="8"/>
      <c r="B8" s="8"/>
      <c r="C8" s="17"/>
      <c r="D8" s="5"/>
      <c r="E8" s="51" t="n">
        <v>3</v>
      </c>
      <c r="F8" s="9" t="s">
        <v>69</v>
      </c>
      <c r="G8" s="8"/>
      <c r="H8" s="26"/>
      <c r="I8" s="52" t="n">
        <v>0.9</v>
      </c>
      <c r="J8" s="14" t="n">
        <f aca="false">H8*I8</f>
        <v>0</v>
      </c>
      <c r="K8" s="5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customFormat="false" ht="15" hidden="false" customHeight="false" outlineLevel="0" collapsed="false">
      <c r="A9" s="8"/>
      <c r="B9" s="26"/>
      <c r="C9" s="17"/>
      <c r="D9" s="5"/>
      <c r="E9" s="53" t="n">
        <v>4</v>
      </c>
      <c r="F9" s="24" t="s">
        <v>70</v>
      </c>
      <c r="G9" s="23"/>
      <c r="H9" s="28"/>
      <c r="I9" s="52" t="n">
        <v>0.9</v>
      </c>
      <c r="J9" s="25" t="n">
        <f aca="false">H9*I9</f>
        <v>0</v>
      </c>
      <c r="K9" s="5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customFormat="false" ht="15" hidden="false" customHeight="false" outlineLevel="0" collapsed="false">
      <c r="A10" s="8"/>
      <c r="B10" s="26"/>
      <c r="C10" s="17"/>
      <c r="D10" s="5"/>
      <c r="E10" s="51" t="n">
        <v>5</v>
      </c>
      <c r="F10" s="9" t="s">
        <v>71</v>
      </c>
      <c r="G10" s="8"/>
      <c r="H10" s="26"/>
      <c r="I10" s="52" t="n">
        <v>0.9</v>
      </c>
      <c r="J10" s="14" t="n">
        <f aca="false">H10*I10</f>
        <v>0</v>
      </c>
      <c r="K10" s="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customFormat="false" ht="15" hidden="false" customHeight="false" outlineLevel="0" collapsed="false">
      <c r="A11" s="8"/>
      <c r="B11" s="33"/>
      <c r="C11" s="8"/>
      <c r="D11" s="5"/>
      <c r="E11" s="53" t="n">
        <v>6</v>
      </c>
      <c r="F11" s="24" t="s">
        <v>72</v>
      </c>
      <c r="G11" s="23"/>
      <c r="H11" s="28"/>
      <c r="I11" s="52" t="n">
        <v>0.9</v>
      </c>
      <c r="J11" s="25" t="n">
        <f aca="false">H11*I11</f>
        <v>0</v>
      </c>
      <c r="K11" s="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customFormat="false" ht="15" hidden="false" customHeight="false" outlineLevel="0" collapsed="false">
      <c r="A12" s="8"/>
      <c r="B12" s="26"/>
      <c r="C12" s="17"/>
      <c r="D12" s="5"/>
      <c r="E12" s="51" t="n">
        <v>7</v>
      </c>
      <c r="F12" s="9" t="s">
        <v>73</v>
      </c>
      <c r="G12" s="8"/>
      <c r="H12" s="26"/>
      <c r="I12" s="52" t="n">
        <v>0.9</v>
      </c>
      <c r="J12" s="14" t="n">
        <f aca="false">H12*I12</f>
        <v>0</v>
      </c>
      <c r="K12" s="5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customFormat="false" ht="15" hidden="false" customHeight="false" outlineLevel="0" collapsed="false">
      <c r="A13" s="8"/>
      <c r="B13" s="8"/>
      <c r="C13" s="17"/>
      <c r="D13" s="5"/>
      <c r="E13" s="53" t="n">
        <v>8</v>
      </c>
      <c r="F13" s="24" t="s">
        <v>74</v>
      </c>
      <c r="G13" s="23"/>
      <c r="H13" s="28"/>
      <c r="I13" s="52" t="n">
        <v>0.9</v>
      </c>
      <c r="J13" s="25" t="n">
        <f aca="false">H13*I13</f>
        <v>0</v>
      </c>
      <c r="K13" s="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customFormat="false" ht="15" hidden="false" customHeight="false" outlineLevel="0" collapsed="false">
      <c r="A14" s="8"/>
      <c r="B14" s="33"/>
      <c r="C14" s="8"/>
      <c r="D14" s="5"/>
      <c r="E14" s="51" t="n">
        <v>9</v>
      </c>
      <c r="F14" s="8"/>
      <c r="G14" s="8"/>
      <c r="H14" s="26"/>
      <c r="I14" s="54"/>
      <c r="J14" s="14" t="n">
        <f aca="false">H14*I14</f>
        <v>0</v>
      </c>
      <c r="K14" s="5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customFormat="false" ht="15" hidden="false" customHeight="false" outlineLevel="0" collapsed="false">
      <c r="A15" s="55" t="s">
        <v>75</v>
      </c>
      <c r="B15" s="56"/>
      <c r="C15" s="4"/>
      <c r="D15" s="5"/>
      <c r="E15" s="53" t="n">
        <v>10</v>
      </c>
      <c r="F15" s="23"/>
      <c r="G15" s="23"/>
      <c r="H15" s="28"/>
      <c r="I15" s="52"/>
      <c r="J15" s="25" t="n">
        <f aca="false">H15*I15</f>
        <v>0</v>
      </c>
      <c r="K15" s="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customFormat="false" ht="15" hidden="false" customHeight="false" outlineLevel="0" collapsed="false">
      <c r="A16" s="57" t="s">
        <v>2</v>
      </c>
      <c r="B16" s="57" t="s">
        <v>3</v>
      </c>
      <c r="C16" s="7" t="s">
        <v>4</v>
      </c>
      <c r="D16" s="5"/>
      <c r="E16" s="51" t="n">
        <v>11</v>
      </c>
      <c r="F16" s="8"/>
      <c r="G16" s="8"/>
      <c r="H16" s="26"/>
      <c r="I16" s="54"/>
      <c r="J16" s="14" t="n">
        <f aca="false">H16*I16</f>
        <v>0</v>
      </c>
      <c r="K16" s="5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customFormat="false" ht="15" hidden="false" customHeight="false" outlineLevel="0" collapsed="false">
      <c r="A17" s="37" t="s">
        <v>8</v>
      </c>
      <c r="B17" s="38" t="n">
        <f aca="false">J26</f>
        <v>0</v>
      </c>
      <c r="C17" s="39" t="s">
        <v>9</v>
      </c>
      <c r="D17" s="5"/>
      <c r="E17" s="53" t="n">
        <v>12</v>
      </c>
      <c r="F17" s="23"/>
      <c r="G17" s="23"/>
      <c r="H17" s="28"/>
      <c r="I17" s="52"/>
      <c r="J17" s="25" t="n">
        <f aca="false">H17*I17</f>
        <v>0</v>
      </c>
      <c r="K17" s="5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customFormat="false" ht="15" hidden="false" customHeight="false" outlineLevel="0" collapsed="false">
      <c r="A18" s="41"/>
      <c r="B18" s="26"/>
      <c r="C18" s="17"/>
      <c r="D18" s="5"/>
      <c r="E18" s="51" t="n">
        <v>13</v>
      </c>
      <c r="F18" s="8"/>
      <c r="G18" s="8"/>
      <c r="H18" s="26"/>
      <c r="I18" s="54"/>
      <c r="J18" s="14" t="n">
        <f aca="false">H18*I18</f>
        <v>0</v>
      </c>
      <c r="K18" s="5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customFormat="false" ht="15" hidden="false" customHeight="false" outlineLevel="0" collapsed="false">
      <c r="A19" s="41"/>
      <c r="B19" s="26"/>
      <c r="C19" s="17"/>
      <c r="D19" s="5"/>
      <c r="E19" s="53" t="n">
        <v>14</v>
      </c>
      <c r="F19" s="23"/>
      <c r="G19" s="23"/>
      <c r="H19" s="28"/>
      <c r="I19" s="52"/>
      <c r="J19" s="25" t="n">
        <f aca="false">H19*I19</f>
        <v>0</v>
      </c>
      <c r="K19" s="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customFormat="false" ht="15" hidden="false" customHeight="false" outlineLevel="0" collapsed="false">
      <c r="A20" s="41"/>
      <c r="B20" s="26"/>
      <c r="C20" s="17"/>
      <c r="D20" s="5"/>
      <c r="E20" s="51" t="n">
        <v>15</v>
      </c>
      <c r="F20" s="8"/>
      <c r="G20" s="8"/>
      <c r="H20" s="26"/>
      <c r="I20" s="54"/>
      <c r="J20" s="14" t="n">
        <f aca="false">H20*I20</f>
        <v>0</v>
      </c>
      <c r="K20" s="5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customFormat="false" ht="15.75" hidden="false" customHeight="true" outlineLevel="0" collapsed="false">
      <c r="A21" s="41"/>
      <c r="B21" s="26"/>
      <c r="C21" s="17"/>
      <c r="D21" s="5"/>
      <c r="E21" s="53" t="n">
        <v>16</v>
      </c>
      <c r="F21" s="23"/>
      <c r="G21" s="23"/>
      <c r="H21" s="28"/>
      <c r="I21" s="52"/>
      <c r="J21" s="25" t="n">
        <f aca="false">H21*I21</f>
        <v>0</v>
      </c>
      <c r="K21" s="5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customFormat="false" ht="15.75" hidden="false" customHeight="true" outlineLevel="0" collapsed="false">
      <c r="A22" s="41"/>
      <c r="B22" s="26"/>
      <c r="C22" s="17"/>
      <c r="D22" s="5"/>
      <c r="E22" s="51" t="n">
        <v>17</v>
      </c>
      <c r="F22" s="8"/>
      <c r="G22" s="8"/>
      <c r="H22" s="26"/>
      <c r="I22" s="54"/>
      <c r="J22" s="14" t="n">
        <f aca="false">H22*I22</f>
        <v>0</v>
      </c>
      <c r="K22" s="5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customFormat="false" ht="15.75" hidden="false" customHeight="true" outlineLevel="0" collapsed="false">
      <c r="A23" s="41"/>
      <c r="B23" s="26"/>
      <c r="C23" s="17"/>
      <c r="D23" s="5"/>
      <c r="E23" s="53" t="n">
        <v>18</v>
      </c>
      <c r="F23" s="23"/>
      <c r="G23" s="23"/>
      <c r="H23" s="28"/>
      <c r="I23" s="52"/>
      <c r="J23" s="25" t="n">
        <f aca="false">H23*I23</f>
        <v>0</v>
      </c>
      <c r="K23" s="5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customFormat="false" ht="15.75" hidden="false" customHeight="true" outlineLevel="0" collapsed="false">
      <c r="A24" s="41"/>
      <c r="B24" s="50"/>
      <c r="C24" s="33"/>
      <c r="D24" s="5"/>
      <c r="E24" s="51" t="n">
        <v>19</v>
      </c>
      <c r="F24" s="8"/>
      <c r="G24" s="8"/>
      <c r="H24" s="26"/>
      <c r="I24" s="54"/>
      <c r="J24" s="14" t="n">
        <f aca="false">H24*I24</f>
        <v>0</v>
      </c>
      <c r="K24" s="5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customFormat="false" ht="15.75" hidden="false" customHeight="true" outlineLevel="0" collapsed="false">
      <c r="A25" s="41"/>
      <c r="B25" s="8"/>
      <c r="C25" s="17"/>
      <c r="D25" s="5"/>
      <c r="E25" s="53" t="n">
        <v>20</v>
      </c>
      <c r="F25" s="23"/>
      <c r="G25" s="23"/>
      <c r="H25" s="28"/>
      <c r="I25" s="52"/>
      <c r="J25" s="25" t="n">
        <f aca="false">H25*I25</f>
        <v>0</v>
      </c>
      <c r="K25" s="5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customFormat="false" ht="15.75" hidden="false" customHeight="true" outlineLevel="0" collapsed="false">
      <c r="A26" s="41"/>
      <c r="B26" s="8"/>
      <c r="C26" s="17"/>
      <c r="D26" s="5"/>
      <c r="E26" s="42"/>
      <c r="F26" s="42"/>
      <c r="G26" s="42"/>
      <c r="H26" s="42"/>
      <c r="I26" s="19" t="s">
        <v>76</v>
      </c>
      <c r="J26" s="30" t="n">
        <f aca="false">SUM(J6:J25)</f>
        <v>0</v>
      </c>
      <c r="K26" s="5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2026-01-27T17:51:24Z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